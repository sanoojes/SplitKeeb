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</workbook>
</file>

<file path=xl/sharedStrings.xml><?xml version="1.0" encoding="utf-8"?>
<sst xmlns="http://schemas.openxmlformats.org/spreadsheetml/2006/main" count="143" uniqueCount="128">
  <si>
    <t>Item</t>
  </si>
  <si>
    <t>Description</t>
  </si>
  <si>
    <t>Note</t>
  </si>
  <si>
    <t>Order Quantity</t>
  </si>
  <si>
    <t>Unit Price</t>
  </si>
  <si>
    <t>Total Price</t>
  </si>
  <si>
    <t>Total Price with Tax</t>
  </si>
  <si>
    <t>URL</t>
  </si>
  <si>
    <t>URL 2</t>
  </si>
  <si>
    <t>URL 3</t>
  </si>
  <si>
    <t xml:space="preserve">0.1uF Capacitor </t>
  </si>
  <si>
    <t>Decoupling Capacitors</t>
  </si>
  <si>
    <t>https://sharvielectronics.com/product/4-7uf-4700nf-25v-capacitor-%c2%b110-tolerance-0805x475k250ct-0805-package/</t>
  </si>
  <si>
    <t>4.7uF Capacitor</t>
  </si>
  <si>
    <t>1uF Capacitor</t>
  </si>
  <si>
    <t>https://sharvielectronics.com/product/1uf-1000nf-50v-capacitor-%c2%b110-tolerance-cc0805kkx7r9bb105-0805-package/</t>
  </si>
  <si>
    <t>100 Ohm Resistor</t>
  </si>
  <si>
    <t>Resistor</t>
  </si>
  <si>
    <t>https://sharvielectronics.com/product/100-ohm-1-8-watt-resistor-5-tolerance-rc0805jr-07100rl-0805-package/</t>
  </si>
  <si>
    <t xml:space="preserve">1k Ohm Resistor </t>
  </si>
  <si>
    <t>https://sharvielectronics.com/product/1k-ohm-1-8-watt-resistor-1-tolerance-0805s8f1001t5e-0805-package/</t>
  </si>
  <si>
    <t>1.5K Ohm Resistor</t>
  </si>
  <si>
    <t>https://sharvielectronics.com/product/1-5k-ohm-1-8-watt-resistor-1-tolerance-0805w8f1501t5e-0805-package/</t>
  </si>
  <si>
    <t>5.1k Ohm Resistor</t>
  </si>
  <si>
    <t>https://sharvielectronics.com/product/5-1k-ohm-1-8-watt-resistor-1-tolerance-0805s8f5101t5e-0805-package/</t>
  </si>
  <si>
    <t>10k Ohm Resistor</t>
  </si>
  <si>
    <t>https://sharvielectronics.com/product/10k-ohm-1-8-watt-resistor-1-tolerance-rc0805fr-0710kl-0805-package/</t>
  </si>
  <si>
    <t xml:space="preserve">47K Ohm Resistor </t>
  </si>
  <si>
    <t>https://sharvielectronics.com/product/47k-ohm-1-8-watt-resistor-1-tolerance-rct0547kf-lf-0805-package/</t>
  </si>
  <si>
    <t>100k  Ohm Resistor</t>
  </si>
  <si>
    <t>https://sharvielectronics.com/product/100k-ohm-1-8-watt-resistor-1-tolerance-0805w8f1003t5e-0805-package/</t>
  </si>
  <si>
    <t>3.9k Ohm Resistor</t>
  </si>
  <si>
    <t>https://sharvielectronics.com/product/3-9k-ohm-1-4w-resistor-pack-of-20-smd-0805/</t>
  </si>
  <si>
    <t>820k Ohm Resistor</t>
  </si>
  <si>
    <t>https://sharvielectronics.com/product/820k-ohm-1-4w-resistor-pack-of-20-smd-0805/</t>
  </si>
  <si>
    <t>470 Ohm Resistor</t>
  </si>
  <si>
    <t>https://sharvielectronics.com/product/470-ohm-1-8-watt-resistor-1-tolerance-0805w8f4700t5e-0805-package/</t>
  </si>
  <si>
    <t>LED 0603 Blue</t>
  </si>
  <si>
    <t>LED</t>
  </si>
  <si>
    <t>https://sharvielectronics.com/product/blue-smd-led-19-21-bhc-an1p2-3t-0603-package/</t>
  </si>
  <si>
    <t>LED 0603 Green</t>
  </si>
  <si>
    <t>https://sharvielectronics.com/product/green-smd-led-19-21sygc-s530-e2-tr8-0603-package/</t>
  </si>
  <si>
    <t xml:space="preserve"> XC6206P332MR-G </t>
  </si>
  <si>
    <t>Voltage Regulator</t>
  </si>
  <si>
    <t>https://sharvielectronics.com/product/xc6206p332mr-g-3-3v-200ma-low-esr-cap-compatible-positive-voltage-regulator-sot-23-3-package/</t>
  </si>
  <si>
    <t>2M Ohm Resistor</t>
  </si>
  <si>
    <t>https://robu.in/product/0805w8j0205t5e-uniohm-royal-ohm-125mw-thick-film-resistors-150v-%c2%b1100ppm-%e2%84%83-%c2%b15-2m%cf%89-0805-chip-resistor-surface-mount-rohs/</t>
  </si>
  <si>
    <t>BQ24075RGTT</t>
  </si>
  <si>
    <t>Battery Management</t>
  </si>
  <si>
    <t>https://robu.in/product/bq24075rgtt-texas-instruments-vqfn-16-ep3x3-battery-management-rohs/</t>
  </si>
  <si>
    <t>HolyIOT 18010</t>
  </si>
  <si>
    <t>Microcontroller</t>
  </si>
  <si>
    <t>https://robu.in/product/holyiot-18010-nrf52840-chipset-ble-module/</t>
  </si>
  <si>
    <t>MF-NSMF110-2</t>
  </si>
  <si>
    <t>Fuse</t>
  </si>
  <si>
    <t>https://robu.in/product/1-month-warranty-1113/</t>
  </si>
  <si>
    <t>MSK12C02-HB</t>
  </si>
  <si>
    <t>Slide Switch</t>
  </si>
  <si>
    <t>https://robu.in/product/msk12c02-hb-shou-han-horizontal-attachment-50ma-single-pole-double-throw-spdt-12v-10000-times-black-smd-slide-switches-rohs/</t>
  </si>
  <si>
    <t>SN74LV1T125DBVR</t>
  </si>
  <si>
    <t>Logic Level Shifter / Logic Buffer</t>
  </si>
  <si>
    <t>https://www.digikey.in/en/products/detail/texas-instruments/SN74LV1T125DBVR/4555571/</t>
  </si>
  <si>
    <t>https://robu.in/product/sn74lv1t125dbvr-texas-instruments-buffer-74lv1t125-1-6-v-to-5-5-v-sot-23-5/</t>
  </si>
  <si>
    <t>USBLC6-2SC6</t>
  </si>
  <si>
    <t>ESD Protection (SOT23-6)</t>
  </si>
  <si>
    <t>https://www.digikey.in/en/products/detail/stmicroelectronics/USBLC6-2SC6/1040559</t>
  </si>
  <si>
    <t>https://robu.in/product/usblc6-2sc6-ms-msksemi-4-5a-15v-150w-6v-5v-sot-23-6-esd-and-surge-protection-tvs-esd-rohs/</t>
  </si>
  <si>
    <t>1N4148W-T4 Diode (SOD-123)</t>
  </si>
  <si>
    <t>Diode</t>
  </si>
  <si>
    <t>https://stackskb.com/product-category/parts/electronic-parts/</t>
  </si>
  <si>
    <t>https://sharvielectronics.com/product/1n4148w-t4-high-speed-fast-switching-diode-sod-123-package/</t>
  </si>
  <si>
    <t>Kelowna Modular EVA Foam</t>
  </si>
  <si>
    <t>Foam for the Switches</t>
  </si>
  <si>
    <t>https://stackskb.com/store/kelowna-modular-foam-pack-of-120/</t>
  </si>
  <si>
    <t>Gateron Hotswap Sockets</t>
  </si>
  <si>
    <t>Hotswap Sockets</t>
  </si>
  <si>
    <t>https://stackskb.com/store/gateron-hotswap-sockets/</t>
  </si>
  <si>
    <t>Cherry MX2A Switch Set</t>
  </si>
  <si>
    <t>Cherry MX Switches</t>
  </si>
  <si>
    <t>Sold as 110 Switch Pack</t>
  </si>
  <si>
    <t>https://keychron.in/product/cherry-mx2a-switch-set/</t>
  </si>
  <si>
    <t>https://meckeys.com/shop/accessories/keyboard-accessories/key-switches/cherry-mx2a-switch/</t>
  </si>
  <si>
    <t>Coiled Cable</t>
  </si>
  <si>
    <t>https://keychron.in/product/keychron-premium-coiled-aviator-cable/</t>
  </si>
  <si>
    <t>https://keychron.in/product/coiled-type-c-cable/</t>
  </si>
  <si>
    <t>SK6812MINI-E</t>
  </si>
  <si>
    <t>RGB Lights</t>
  </si>
  <si>
    <t xml:space="preserve">Am not sure about this one. </t>
  </si>
  <si>
    <t>https://shop.beekeeb.com/products/sk6812mini-e</t>
  </si>
  <si>
    <t>https://www.amazon.in/Kqcibz-Similar-WS2812B-Individually-Addressable/dp/B0D5LGQ629</t>
  </si>
  <si>
    <t>nice!view</t>
  </si>
  <si>
    <t>OLED Screen</t>
  </si>
  <si>
    <t>https://shop.beekeeb.com/products/nice-view-with-sockets-power-saving-display-for-wireless-split-keyboard</t>
  </si>
  <si>
    <t>https://ergokeyboard.sg/products/nice-view-lcd-display</t>
  </si>
  <si>
    <t>2N7002</t>
  </si>
  <si>
    <t>SOT-23 MOSFET</t>
  </si>
  <si>
    <t>https://sharvielectronics.com/product/2n7002-60v-300ma-n-channel-mosfet-sot-23-package/</t>
  </si>
  <si>
    <t>USB C Female</t>
  </si>
  <si>
    <t>USB C Receptacle TYPE-C-31-M-23-Hroparts</t>
  </si>
  <si>
    <t>https://robu.in/product/type-c-31-m-23-hroparts-1-surface-mount-right-angle-16p-female-55%e2%84%8385%e2%84%83-type-c-smd-usb-connectors-rohs/</t>
  </si>
  <si>
    <t>JST Male</t>
  </si>
  <si>
    <t>JST Pin for the Battery</t>
  </si>
  <si>
    <t>https://robu.in/product/ph-02y-2mm-2-pin-female-housing-connector-with-300mm-wire28-awg</t>
  </si>
  <si>
    <t>JST 2mm</t>
  </si>
  <si>
    <t>JST Pin for connecting Battery</t>
  </si>
  <si>
    <t>https://robu.in/product/s2b-ph-sm4-tblfsn-jst-1x2p-2p-ph-tin-2-25%e2%84%8385%e2%84%83-2a-1-2mm-copper-alloy-horizontal-attachment-smdp2mmsurface-mount%ef%bc%8cright-angle-wire-to-board-connector-rohs/</t>
  </si>
  <si>
    <t>3.7v Battery</t>
  </si>
  <si>
    <t>https://robu.in/product/1500mah-pcm-protected-micro-li-po-battery/</t>
  </si>
  <si>
    <t>DEVELOPMENT KIT</t>
  </si>
  <si>
    <t>Raspberry Pi Pico 2W</t>
  </si>
  <si>
    <t>Microcontroller board, For Flashing firmware to the HolyIOT 18010</t>
  </si>
  <si>
    <t>https://robu.in/product/raspberry-pi-pico-2-w/</t>
  </si>
  <si>
    <t>https://www.raspberrypi.com/products/raspberry-pi-pico-2/</t>
  </si>
  <si>
    <t>Breadboard</t>
  </si>
  <si>
    <t>https://robu.in/product/solderless-400-pin-breadboard-normal-quality-without-packing/</t>
  </si>
  <si>
    <t>https://robu.in/product/mb102-830-points-solderless-prototype-pcb-breadboard-high-quality/</t>
  </si>
  <si>
    <t>Jumper Cable</t>
  </si>
  <si>
    <t>Male to Female</t>
  </si>
  <si>
    <t>https://robu.in/product/male-to-female-jumper-wires-40pcs-20cm/</t>
  </si>
  <si>
    <t>Male to Male</t>
  </si>
  <si>
    <t>https://robu.in/product/male-to-male-jumper-wires-40pcs-20cm/</t>
  </si>
  <si>
    <t>TOTAL</t>
  </si>
  <si>
    <t>Expected Total with Shipping</t>
  </si>
  <si>
    <t xml:space="preserve">Added 3000rs for shipping, this value will increase or decrease </t>
  </si>
  <si>
    <t>Expected Total in USD</t>
  </si>
  <si>
    <t>IMPORTANT NOTES</t>
  </si>
  <si>
    <r>
      <rPr>
        <rFont val="Arial"/>
        <color theme="1"/>
      </rPr>
      <t xml:space="preserve">Some of the Components listed in website including Tax, some of them are not, so refer to the </t>
    </r>
    <r>
      <rPr>
        <rFont val="Arial"/>
        <b/>
        <color theme="1"/>
      </rPr>
      <t>Total Price with Tax</t>
    </r>
    <r>
      <rPr>
        <rFont val="Arial"/>
        <color theme="1"/>
      </rPr>
      <t xml:space="preserve"> </t>
    </r>
  </si>
  <si>
    <t>Some of the Order Quantity has 5 or 10 more than needed to compensate with the Minimum Order Quanity of the Providers, This is cheaper than using different providers. Because of the shipping fees and price difference.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</si>
</sst>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₹#,##0.00"/>
    <numFmt numFmtId="165" formatCode="[$$]#,##0.00"/>
  </numFmts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282828"/>
      <name val="&quot;DM Sans&quot;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5" numFmtId="0" xfId="0" applyAlignment="1" applyFill="1" applyFont="1">
      <alignment horizontal="left" readingOrder="0"/>
    </xf>
    <xf borderId="0" fillId="3" fontId="2" numFmtId="0" xfId="0" applyAlignment="1" applyFill="1" applyFont="1">
      <alignment readingOrder="0"/>
    </xf>
    <xf borderId="0" fillId="3" fontId="2" numFmtId="164" xfId="0" applyFont="1" applyNumberFormat="1"/>
    <xf borderId="0" fillId="0" fontId="6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6" numFmtId="0" xfId="0" applyAlignment="1" applyFont="1">
      <alignment horizontal="left" readingOrder="0" vertical="center"/>
    </xf>
    <xf borderId="0" fillId="0" fontId="7" numFmtId="0" xfId="0" applyAlignment="1" applyFont="1">
      <alignment readingOrder="0" vertical="center"/>
    </xf>
    <xf borderId="0" fillId="0" fontId="2" numFmtId="165" xfId="0" applyAlignment="1" applyFont="1" applyNumberFormat="1">
      <alignment horizontal="center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obu.in/product/ph-02y-2mm-2-pin-female-housing-connector-with-300mm-wire28-awg" TargetMode="External"/><Relationship Id="rId42" Type="http://schemas.openxmlformats.org/officeDocument/2006/relationships/hyperlink" Target="https://robu.in/product/1500mah-pcm-protected-micro-li-po-battery/" TargetMode="External"/><Relationship Id="rId41" Type="http://schemas.openxmlformats.org/officeDocument/2006/relationships/hyperlink" Target="https://robu.in/product/s2b-ph-sm4-tblfsn-jst-1x2p-2p-ph-tin-2-25%e2%84%8385%e2%84%83-2a-1-2mm-copper-alloy-horizontal-attachment-smdp2mmsurface-mount%ef%bc%8cright-angle-wire-to-board-connector-rohs/" TargetMode="External"/><Relationship Id="rId44" Type="http://schemas.openxmlformats.org/officeDocument/2006/relationships/hyperlink" Target="https://www.raspberrypi.com/products/raspberry-pi-pico-2/" TargetMode="External"/><Relationship Id="rId43" Type="http://schemas.openxmlformats.org/officeDocument/2006/relationships/hyperlink" Target="https://robu.in/product/raspberry-pi-pico-2/" TargetMode="External"/><Relationship Id="rId46" Type="http://schemas.openxmlformats.org/officeDocument/2006/relationships/hyperlink" Target="https://robu.in/product/mb102-830-points-solderless-prototype-pcb-breadboard-high-quality/" TargetMode="External"/><Relationship Id="rId45" Type="http://schemas.openxmlformats.org/officeDocument/2006/relationships/hyperlink" Target="https://robu.in/product/solderless-400-pin-breadboard-normal-quality-without-packing/" TargetMode="External"/><Relationship Id="rId1" Type="http://schemas.openxmlformats.org/officeDocument/2006/relationships/hyperlink" Target="https://sharvielectronics.com/product/0-1uf-100nf-50v-capacitor-%c2%b110-tolerance-cc0805kkx7r9bb104-0805-package/" TargetMode="External"/><Relationship Id="rId2" Type="http://schemas.openxmlformats.org/officeDocument/2006/relationships/hyperlink" Target="https://sharvielectronics.com/product/4-7uf-4700nf-25v-capacitor-%c2%b110-tolerance-0805x475k250ct-0805-package/" TargetMode="External"/><Relationship Id="rId3" Type="http://schemas.openxmlformats.org/officeDocument/2006/relationships/hyperlink" Target="https://sharvielectronics.com/product/1uf-1000nf-50v-capacitor-%c2%b110-tolerance-cc0805kkx7r9bb105-0805-package/" TargetMode="External"/><Relationship Id="rId4" Type="http://schemas.openxmlformats.org/officeDocument/2006/relationships/hyperlink" Target="https://sharvielectronics.com/product/100-ohm-1-8-watt-resistor-5-tolerance-rc0805jr-07100rl-0805-package/" TargetMode="External"/><Relationship Id="rId9" Type="http://schemas.openxmlformats.org/officeDocument/2006/relationships/hyperlink" Target="https://sharvielectronics.com/product/47k-ohm-1-8-watt-resistor-1-tolerance-rct0547kf-lf-0805-package/" TargetMode="External"/><Relationship Id="rId48" Type="http://schemas.openxmlformats.org/officeDocument/2006/relationships/hyperlink" Target="https://robu.in/product/male-to-male-jumper-wires-40pcs-20cm/" TargetMode="External"/><Relationship Id="rId47" Type="http://schemas.openxmlformats.org/officeDocument/2006/relationships/hyperlink" Target="https://robu.in/product/male-to-female-jumper-wires-40pcs-20cm/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sharvielectronics.com/product/1k-ohm-1-8-watt-resistor-1-tolerance-0805s8f1001t5e-0805-package/" TargetMode="External"/><Relationship Id="rId6" Type="http://schemas.openxmlformats.org/officeDocument/2006/relationships/hyperlink" Target="https://sharvielectronics.com/product/1-5k-ohm-1-8-watt-resistor-1-tolerance-0805w8f1501t5e-0805-package/" TargetMode="External"/><Relationship Id="rId7" Type="http://schemas.openxmlformats.org/officeDocument/2006/relationships/hyperlink" Target="https://sharvielectronics.com/product/10k-ohm-1-8-watt-resistor-1-tolerance-rc0805fr-0710kl-0805-package/" TargetMode="External"/><Relationship Id="rId8" Type="http://schemas.openxmlformats.org/officeDocument/2006/relationships/hyperlink" Target="https://sharvielectronics.com/product/10k-ohm-1-8-watt-resistor-1-tolerance-rc0805fr-0710kl-0805-package/" TargetMode="External"/><Relationship Id="rId31" Type="http://schemas.openxmlformats.org/officeDocument/2006/relationships/hyperlink" Target="https://meckeys.com/shop/accessories/keyboard-accessories/key-switches/cherry-mx2a-switch/" TargetMode="External"/><Relationship Id="rId30" Type="http://schemas.openxmlformats.org/officeDocument/2006/relationships/hyperlink" Target="https://keychron.in/product/cherry-mx2a-switch-set/" TargetMode="External"/><Relationship Id="rId33" Type="http://schemas.openxmlformats.org/officeDocument/2006/relationships/hyperlink" Target="https://keychron.in/product/coiled-type-c-cable/" TargetMode="External"/><Relationship Id="rId32" Type="http://schemas.openxmlformats.org/officeDocument/2006/relationships/hyperlink" Target="https://keychron.in/product/keychron-premium-coiled-aviator-cable/" TargetMode="External"/><Relationship Id="rId35" Type="http://schemas.openxmlformats.org/officeDocument/2006/relationships/hyperlink" Target="https://www.amazon.in/Kqcibz-Similar-WS2812B-Individually-Addressable/dp/B0D5LGQ629?dib=eyJ2IjoiMSJ9.Xn4V5n16gmL2crNttxuK7w.4T3wHCG8Asn0pEe57g9ZFk1SP2PMiXB65pkObFC0fj4&amp;dib_tag=se&amp;keywords=SK6812+MINI-E&amp;qid=1766509877&amp;sr=8-1" TargetMode="External"/><Relationship Id="rId34" Type="http://schemas.openxmlformats.org/officeDocument/2006/relationships/hyperlink" Target="https://shop.beekeeb.com/products/sk6812mini-e?_pos=1&amp;_sid=673fedd17&amp;_ss=r" TargetMode="External"/><Relationship Id="rId37" Type="http://schemas.openxmlformats.org/officeDocument/2006/relationships/hyperlink" Target="https://ergokeyboard.sg/products/nice-view-lcd-display" TargetMode="External"/><Relationship Id="rId36" Type="http://schemas.openxmlformats.org/officeDocument/2006/relationships/hyperlink" Target="https://shop.beekeeb.com/products/nice-view-with-sockets-power-saving-display-for-wireless-split-keyboard" TargetMode="External"/><Relationship Id="rId39" Type="http://schemas.openxmlformats.org/officeDocument/2006/relationships/hyperlink" Target="https://robu.in/product/type-c-31-m-23-hroparts-1-surface-mount-right-angle-16p-female-55%e2%84%8385%e2%84%83-type-c-smd-usb-connectors-rohs/" TargetMode="External"/><Relationship Id="rId38" Type="http://schemas.openxmlformats.org/officeDocument/2006/relationships/hyperlink" Target="https://sharvielectronics.com/product/2n7002-60v-300ma-n-channel-mosfet-sot-23-package/" TargetMode="External"/><Relationship Id="rId20" Type="http://schemas.openxmlformats.org/officeDocument/2006/relationships/hyperlink" Target="https://robu.in/product/1-month-warranty-1113/" TargetMode="External"/><Relationship Id="rId22" Type="http://schemas.openxmlformats.org/officeDocument/2006/relationships/hyperlink" Target="https://www.digikey.in/en/products/detail/texas-instruments/SN74LV1T125DBVR/4555571/" TargetMode="External"/><Relationship Id="rId21" Type="http://schemas.openxmlformats.org/officeDocument/2006/relationships/hyperlink" Target="https://robu.in/product/msk12c02-hb-shou-han-horizontal-attachment-50ma-single-pole-double-throw-spdt-12v-10000-times-black-smd-slide-switches-rohs/" TargetMode="External"/><Relationship Id="rId24" Type="http://schemas.openxmlformats.org/officeDocument/2006/relationships/hyperlink" Target="https://www.digikey.in/en/products/detail/stmicroelectronics/USBLC6-2SC6/1040559" TargetMode="External"/><Relationship Id="rId23" Type="http://schemas.openxmlformats.org/officeDocument/2006/relationships/hyperlink" Target="https://robu.in/product/sn74lv1t125dbvr-texas-instruments-buffer-74lv1t125-1-6-v-to-5-5-v-sot-23-5/" TargetMode="External"/><Relationship Id="rId26" Type="http://schemas.openxmlformats.org/officeDocument/2006/relationships/hyperlink" Target="https://sharvielectronics.com/product/1n4148w-t4-high-speed-fast-switching-diode-sod-123-package/" TargetMode="External"/><Relationship Id="rId25" Type="http://schemas.openxmlformats.org/officeDocument/2006/relationships/hyperlink" Target="https://robu.in/product/usblc6-2sc6-ms-msksemi-4-5a-15v-150w-6v-5v-sot-23-6-esd-and-surge-protection-tvs-esd-rohs/" TargetMode="External"/><Relationship Id="rId28" Type="http://schemas.openxmlformats.org/officeDocument/2006/relationships/hyperlink" Target="https://stackskb.com/store/kelowna-modular-foam-pack-of-120/" TargetMode="External"/><Relationship Id="rId27" Type="http://schemas.openxmlformats.org/officeDocument/2006/relationships/hyperlink" Target="https://sharvielectronics.com/product/1n4148w-t4-high-speed-fast-switching-diode-sod-123-package/" TargetMode="External"/><Relationship Id="rId29" Type="http://schemas.openxmlformats.org/officeDocument/2006/relationships/hyperlink" Target="https://stackskb.com/store/gateron-hotswap-sockets/" TargetMode="External"/><Relationship Id="rId11" Type="http://schemas.openxmlformats.org/officeDocument/2006/relationships/hyperlink" Target="https://sharvielectronics.com/product/3-9k-ohm-1-4w-resistor-pack-of-20-smd-0805/" TargetMode="External"/><Relationship Id="rId10" Type="http://schemas.openxmlformats.org/officeDocument/2006/relationships/hyperlink" Target="https://sharvielectronics.com/product/100k-ohm-1-8-watt-resistor-1-tolerance-0805w8f1003t5e-0805-package/" TargetMode="External"/><Relationship Id="rId13" Type="http://schemas.openxmlformats.org/officeDocument/2006/relationships/hyperlink" Target="https://sharvielectronics.com/product/470-ohm-1-8-watt-resistor-1-tolerance-0805w8f4700t5e-0805-package/" TargetMode="External"/><Relationship Id="rId12" Type="http://schemas.openxmlformats.org/officeDocument/2006/relationships/hyperlink" Target="https://sharvielectronics.com/product/820k-ohm-1-4w-resistor-pack-of-20-smd-0805/" TargetMode="External"/><Relationship Id="rId15" Type="http://schemas.openxmlformats.org/officeDocument/2006/relationships/hyperlink" Target="https://sharvielectronics.com/product/green-smd-led-19-21sygc-s530-e2-tr8-0603-package/" TargetMode="External"/><Relationship Id="rId14" Type="http://schemas.openxmlformats.org/officeDocument/2006/relationships/hyperlink" Target="https://sharvielectronics.com/product/blue-smd-led-19-21-bhc-an1p2-3t-0603-package/" TargetMode="External"/><Relationship Id="rId17" Type="http://schemas.openxmlformats.org/officeDocument/2006/relationships/hyperlink" Target="https://robu.in/product/0805w8j0205t5e-uniohm-royal-ohm-125mw-thick-film-resistors-150v-%c2%b1100ppm-%e2%84%83-%c2%b15-2m%cf%89-0805-chip-resistor-surface-mount-rohs/" TargetMode="External"/><Relationship Id="rId16" Type="http://schemas.openxmlformats.org/officeDocument/2006/relationships/hyperlink" Target="https://sharvielectronics.com/product/xc6206p332mr-g-3-3v-200ma-low-esr-cap-compatible-positive-voltage-regulator-sot-23-3-package/" TargetMode="External"/><Relationship Id="rId19" Type="http://schemas.openxmlformats.org/officeDocument/2006/relationships/hyperlink" Target="https://robu.in/product/holyiot-18010-nrf52840-chipset-ble-module/" TargetMode="External"/><Relationship Id="rId18" Type="http://schemas.openxmlformats.org/officeDocument/2006/relationships/hyperlink" Target="https://robu.in/product/bq24075rgtt-texas-instruments-vqfn-16-ep3x3-battery-management-roh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0.38"/>
    <col customWidth="1" min="3" max="3" width="24.38"/>
    <col customWidth="1" min="4" max="4" width="16.25"/>
    <col customWidth="1" min="7" max="7" width="22.38"/>
    <col customWidth="1" min="8" max="8" width="139.5"/>
    <col customWidth="1" min="9" max="9" width="91.5"/>
    <col customWidth="1" min="10" max="10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/>
      <c r="D2" s="3">
        <v>120.0</v>
      </c>
      <c r="E2" s="4">
        <f>1</f>
        <v>1</v>
      </c>
      <c r="F2" s="4">
        <f t="shared" ref="F2:F5" si="1">D2*E2</f>
        <v>120</v>
      </c>
      <c r="G2" s="4">
        <f t="shared" ref="G2:G17" si="2">F2*1.18</f>
        <v>141.6</v>
      </c>
      <c r="H2" s="5" t="s">
        <v>12</v>
      </c>
    </row>
    <row r="3">
      <c r="A3" s="3" t="s">
        <v>13</v>
      </c>
      <c r="B3" s="3" t="s">
        <v>11</v>
      </c>
      <c r="C3" s="3"/>
      <c r="D3" s="3">
        <v>20.0</v>
      </c>
      <c r="E3" s="4">
        <f> 2.12</f>
        <v>2.12</v>
      </c>
      <c r="F3" s="4">
        <f t="shared" si="1"/>
        <v>42.4</v>
      </c>
      <c r="G3" s="4">
        <f t="shared" si="2"/>
        <v>50.032</v>
      </c>
      <c r="H3" s="5" t="s">
        <v>12</v>
      </c>
    </row>
    <row r="4">
      <c r="A4" s="3" t="s">
        <v>14</v>
      </c>
      <c r="B4" s="3" t="s">
        <v>11</v>
      </c>
      <c r="C4" s="3"/>
      <c r="D4" s="3">
        <v>10.0</v>
      </c>
      <c r="E4" s="4">
        <f>2.16</f>
        <v>2.16</v>
      </c>
      <c r="F4" s="4">
        <f t="shared" si="1"/>
        <v>21.6</v>
      </c>
      <c r="G4" s="4">
        <f t="shared" si="2"/>
        <v>25.488</v>
      </c>
      <c r="H4" s="5" t="s">
        <v>15</v>
      </c>
    </row>
    <row r="5">
      <c r="A5" s="3" t="s">
        <v>16</v>
      </c>
      <c r="B5" s="3" t="s">
        <v>17</v>
      </c>
      <c r="C5" s="3"/>
      <c r="D5" s="3">
        <v>20.0</v>
      </c>
      <c r="E5" s="4">
        <f>0.82</f>
        <v>0.82</v>
      </c>
      <c r="F5" s="4">
        <f t="shared" si="1"/>
        <v>16.4</v>
      </c>
      <c r="G5" s="4">
        <f t="shared" si="2"/>
        <v>19.352</v>
      </c>
      <c r="H5" s="6" t="s">
        <v>18</v>
      </c>
    </row>
    <row r="6">
      <c r="A6" s="3" t="s">
        <v>19</v>
      </c>
      <c r="B6" s="3" t="s">
        <v>17</v>
      </c>
      <c r="C6" s="3"/>
      <c r="D6" s="3">
        <v>10.0</v>
      </c>
      <c r="E6" s="7">
        <v>0.82</v>
      </c>
      <c r="F6" s="4">
        <f>E6*D6</f>
        <v>8.2</v>
      </c>
      <c r="G6" s="4">
        <f t="shared" si="2"/>
        <v>9.676</v>
      </c>
      <c r="H6" s="5" t="s">
        <v>20</v>
      </c>
    </row>
    <row r="7">
      <c r="A7" s="3" t="s">
        <v>21</v>
      </c>
      <c r="B7" s="3" t="s">
        <v>17</v>
      </c>
      <c r="C7" s="3"/>
      <c r="D7" s="3">
        <v>20.0</v>
      </c>
      <c r="E7" s="4">
        <f>0.82</f>
        <v>0.82</v>
      </c>
      <c r="F7" s="4">
        <f>D7*E7</f>
        <v>16.4</v>
      </c>
      <c r="G7" s="4">
        <f t="shared" si="2"/>
        <v>19.352</v>
      </c>
      <c r="H7" s="5" t="s">
        <v>22</v>
      </c>
    </row>
    <row r="8">
      <c r="A8" s="3" t="s">
        <v>23</v>
      </c>
      <c r="B8" s="3" t="s">
        <v>17</v>
      </c>
      <c r="C8" s="3"/>
      <c r="D8" s="3">
        <v>10.0</v>
      </c>
      <c r="E8" s="7">
        <f>1.92</f>
        <v>1.92</v>
      </c>
      <c r="F8" s="4">
        <f>E8*D8</f>
        <v>19.2</v>
      </c>
      <c r="G8" s="4">
        <f t="shared" si="2"/>
        <v>22.656</v>
      </c>
      <c r="H8" s="5" t="s">
        <v>24</v>
      </c>
    </row>
    <row r="9">
      <c r="A9" s="3" t="s">
        <v>25</v>
      </c>
      <c r="B9" s="3" t="s">
        <v>17</v>
      </c>
      <c r="C9" s="3"/>
      <c r="D9" s="3">
        <v>10.0</v>
      </c>
      <c r="E9" s="7">
        <v>0.82</v>
      </c>
      <c r="F9" s="4">
        <f t="shared" ref="F9:F10" si="3">D9*E9</f>
        <v>8.2</v>
      </c>
      <c r="G9" s="4">
        <f t="shared" si="2"/>
        <v>9.676</v>
      </c>
      <c r="H9" s="5" t="s">
        <v>26</v>
      </c>
    </row>
    <row r="10">
      <c r="A10" s="3" t="s">
        <v>27</v>
      </c>
      <c r="B10" s="3" t="s">
        <v>17</v>
      </c>
      <c r="D10" s="3">
        <v>20.0</v>
      </c>
      <c r="E10" s="4">
        <f>0.82</f>
        <v>0.82</v>
      </c>
      <c r="F10" s="4">
        <f t="shared" si="3"/>
        <v>16.4</v>
      </c>
      <c r="G10" s="4">
        <f t="shared" si="2"/>
        <v>19.352</v>
      </c>
      <c r="H10" s="5" t="s">
        <v>28</v>
      </c>
    </row>
    <row r="11">
      <c r="A11" s="3" t="s">
        <v>29</v>
      </c>
      <c r="B11" s="3" t="s">
        <v>17</v>
      </c>
      <c r="D11" s="3">
        <v>20.0</v>
      </c>
      <c r="E11" s="4">
        <f>0.89</f>
        <v>0.89</v>
      </c>
      <c r="F11" s="4">
        <f t="shared" ref="F11:F14" si="4">E11*D11</f>
        <v>17.8</v>
      </c>
      <c r="G11" s="7">
        <f t="shared" si="2"/>
        <v>21.004</v>
      </c>
      <c r="H11" s="5" t="s">
        <v>30</v>
      </c>
    </row>
    <row r="12">
      <c r="A12" s="3" t="s">
        <v>31</v>
      </c>
      <c r="B12" s="3" t="s">
        <v>17</v>
      </c>
      <c r="D12" s="3">
        <v>20.0</v>
      </c>
      <c r="E12" s="4">
        <f t="shared" ref="E12:E13" si="5">0.82</f>
        <v>0.82</v>
      </c>
      <c r="F12" s="4">
        <f t="shared" si="4"/>
        <v>16.4</v>
      </c>
      <c r="G12" s="4">
        <f t="shared" si="2"/>
        <v>19.352</v>
      </c>
      <c r="H12" s="6" t="s">
        <v>32</v>
      </c>
    </row>
    <row r="13">
      <c r="A13" s="3" t="s">
        <v>33</v>
      </c>
      <c r="B13" s="3" t="s">
        <v>17</v>
      </c>
      <c r="D13" s="3">
        <v>20.0</v>
      </c>
      <c r="E13" s="4">
        <f t="shared" si="5"/>
        <v>0.82</v>
      </c>
      <c r="F13" s="4">
        <f t="shared" si="4"/>
        <v>16.4</v>
      </c>
      <c r="G13" s="4">
        <f t="shared" si="2"/>
        <v>19.352</v>
      </c>
      <c r="H13" s="6" t="s">
        <v>34</v>
      </c>
    </row>
    <row r="14">
      <c r="A14" s="3" t="s">
        <v>35</v>
      </c>
      <c r="B14" s="3" t="s">
        <v>17</v>
      </c>
      <c r="D14" s="3">
        <v>20.0</v>
      </c>
      <c r="E14" s="4">
        <f>0.89</f>
        <v>0.89</v>
      </c>
      <c r="F14" s="4">
        <f t="shared" si="4"/>
        <v>17.8</v>
      </c>
      <c r="G14" s="4">
        <f t="shared" si="2"/>
        <v>21.004</v>
      </c>
      <c r="H14" s="6" t="s">
        <v>36</v>
      </c>
    </row>
    <row r="15">
      <c r="A15" s="3" t="s">
        <v>37</v>
      </c>
      <c r="B15" s="3" t="s">
        <v>38</v>
      </c>
      <c r="C15" s="3"/>
      <c r="D15" s="3">
        <v>20.0</v>
      </c>
      <c r="E15" s="4">
        <f>3.32</f>
        <v>3.32</v>
      </c>
      <c r="F15" s="4">
        <f>D15*E15</f>
        <v>66.4</v>
      </c>
      <c r="G15" s="4">
        <f t="shared" si="2"/>
        <v>78.352</v>
      </c>
      <c r="H15" s="6" t="s">
        <v>39</v>
      </c>
    </row>
    <row r="16">
      <c r="A16" s="3" t="s">
        <v>40</v>
      </c>
      <c r="B16" s="3" t="s">
        <v>38</v>
      </c>
      <c r="C16" s="3"/>
      <c r="D16" s="3">
        <v>20.0</v>
      </c>
      <c r="E16" s="4">
        <f>2.39</f>
        <v>2.39</v>
      </c>
      <c r="F16" s="4">
        <f t="shared" ref="F16:F25" si="6">E16*D16</f>
        <v>47.8</v>
      </c>
      <c r="G16" s="4">
        <f t="shared" si="2"/>
        <v>56.404</v>
      </c>
      <c r="H16" s="6" t="s">
        <v>41</v>
      </c>
    </row>
    <row r="17">
      <c r="A17" s="3" t="s">
        <v>42</v>
      </c>
      <c r="B17" s="3" t="s">
        <v>43</v>
      </c>
      <c r="C17" s="3"/>
      <c r="D17" s="3">
        <v>5.0</v>
      </c>
      <c r="E17" s="4">
        <f>13</f>
        <v>13</v>
      </c>
      <c r="F17" s="4">
        <f t="shared" si="6"/>
        <v>65</v>
      </c>
      <c r="G17" s="4">
        <f t="shared" si="2"/>
        <v>76.7</v>
      </c>
      <c r="H17" s="6" t="s">
        <v>44</v>
      </c>
    </row>
    <row r="18">
      <c r="A18" s="3" t="s">
        <v>45</v>
      </c>
      <c r="B18" s="3" t="s">
        <v>17</v>
      </c>
      <c r="C18" s="3"/>
      <c r="D18" s="3">
        <v>4.0</v>
      </c>
      <c r="E18" s="4">
        <f>0.12</f>
        <v>0.12</v>
      </c>
      <c r="F18" s="4">
        <f t="shared" si="6"/>
        <v>0.48</v>
      </c>
      <c r="G18" s="4">
        <f t="shared" ref="G18:G24" si="7">F18</f>
        <v>0.48</v>
      </c>
      <c r="H18" s="6" t="s">
        <v>46</v>
      </c>
    </row>
    <row r="19">
      <c r="A19" s="3" t="s">
        <v>47</v>
      </c>
      <c r="B19" s="3" t="s">
        <v>48</v>
      </c>
      <c r="C19" s="3"/>
      <c r="D19" s="3">
        <v>2.0</v>
      </c>
      <c r="E19" s="4">
        <f>226</f>
        <v>226</v>
      </c>
      <c r="F19" s="4">
        <f t="shared" si="6"/>
        <v>452</v>
      </c>
      <c r="G19" s="4">
        <f t="shared" si="7"/>
        <v>452</v>
      </c>
      <c r="H19" s="6" t="s">
        <v>49</v>
      </c>
    </row>
    <row r="20">
      <c r="A20" s="3" t="s">
        <v>50</v>
      </c>
      <c r="B20" s="3" t="s">
        <v>51</v>
      </c>
      <c r="C20" s="3"/>
      <c r="D20" s="3">
        <v>2.0</v>
      </c>
      <c r="E20" s="4">
        <f>979</f>
        <v>979</v>
      </c>
      <c r="F20" s="4">
        <f t="shared" si="6"/>
        <v>1958</v>
      </c>
      <c r="G20" s="4">
        <f t="shared" si="7"/>
        <v>1958</v>
      </c>
      <c r="H20" s="6" t="s">
        <v>52</v>
      </c>
    </row>
    <row r="21">
      <c r="A21" s="3" t="s">
        <v>53</v>
      </c>
      <c r="B21" s="3" t="s">
        <v>54</v>
      </c>
      <c r="C21" s="3"/>
      <c r="D21" s="3">
        <v>4.0</v>
      </c>
      <c r="E21" s="4">
        <f>3.8</f>
        <v>3.8</v>
      </c>
      <c r="F21" s="4">
        <f t="shared" si="6"/>
        <v>15.2</v>
      </c>
      <c r="G21" s="4">
        <f t="shared" si="7"/>
        <v>15.2</v>
      </c>
      <c r="H21" s="6" t="s">
        <v>55</v>
      </c>
    </row>
    <row r="22">
      <c r="A22" s="3" t="s">
        <v>56</v>
      </c>
      <c r="B22" s="3" t="s">
        <v>57</v>
      </c>
      <c r="C22" s="3"/>
      <c r="D22" s="3">
        <v>2.0</v>
      </c>
      <c r="E22" s="4">
        <f>8</f>
        <v>8</v>
      </c>
      <c r="F22" s="4">
        <f t="shared" si="6"/>
        <v>16</v>
      </c>
      <c r="G22" s="4">
        <f t="shared" si="7"/>
        <v>16</v>
      </c>
      <c r="H22" s="6" t="s">
        <v>58</v>
      </c>
    </row>
    <row r="23">
      <c r="A23" s="3" t="s">
        <v>59</v>
      </c>
      <c r="B23" s="3" t="s">
        <v>60</v>
      </c>
      <c r="C23" s="3"/>
      <c r="D23" s="3">
        <v>2.0</v>
      </c>
      <c r="E23" s="4">
        <f>38.06</f>
        <v>38.06</v>
      </c>
      <c r="F23" s="4">
        <f t="shared" si="6"/>
        <v>76.12</v>
      </c>
      <c r="G23" s="4">
        <f t="shared" si="7"/>
        <v>76.12</v>
      </c>
      <c r="H23" s="5" t="s">
        <v>61</v>
      </c>
      <c r="I23" s="6" t="s">
        <v>62</v>
      </c>
    </row>
    <row r="24">
      <c r="A24" s="3" t="s">
        <v>63</v>
      </c>
      <c r="B24" s="3" t="s">
        <v>64</v>
      </c>
      <c r="C24" s="3"/>
      <c r="D24" s="3">
        <v>6.0</v>
      </c>
      <c r="E24" s="4">
        <f>31.87</f>
        <v>31.87</v>
      </c>
      <c r="F24" s="4">
        <f t="shared" si="6"/>
        <v>191.22</v>
      </c>
      <c r="G24" s="4">
        <f t="shared" si="7"/>
        <v>191.22</v>
      </c>
      <c r="H24" s="6" t="s">
        <v>65</v>
      </c>
      <c r="I24" s="6" t="s">
        <v>66</v>
      </c>
    </row>
    <row r="25">
      <c r="A25" s="3" t="s">
        <v>67</v>
      </c>
      <c r="B25" s="3" t="s">
        <v>68</v>
      </c>
      <c r="C25" s="3"/>
      <c r="D25" s="3">
        <v>110.0</v>
      </c>
      <c r="E25" s="4">
        <f>2</f>
        <v>2</v>
      </c>
      <c r="F25" s="4">
        <f t="shared" si="6"/>
        <v>220</v>
      </c>
      <c r="G25" s="4">
        <f>F25*1.18</f>
        <v>259.6</v>
      </c>
      <c r="H25" s="5" t="s">
        <v>69</v>
      </c>
      <c r="I25" s="5" t="s">
        <v>70</v>
      </c>
    </row>
    <row r="26">
      <c r="A26" s="3" t="s">
        <v>71</v>
      </c>
      <c r="B26" s="3" t="s">
        <v>72</v>
      </c>
      <c r="C26" s="3"/>
      <c r="D26" s="3">
        <v>120.0</v>
      </c>
      <c r="E26" s="4">
        <f> 1500 / 120</f>
        <v>12.5</v>
      </c>
      <c r="F26" s="4">
        <f> 1500</f>
        <v>1500</v>
      </c>
      <c r="G26" s="4">
        <f t="shared" ref="G26:G31" si="8">F26</f>
        <v>1500</v>
      </c>
      <c r="H26" s="5" t="s">
        <v>73</v>
      </c>
    </row>
    <row r="27">
      <c r="A27" s="3" t="s">
        <v>74</v>
      </c>
      <c r="B27" s="3" t="s">
        <v>75</v>
      </c>
      <c r="C27" s="3"/>
      <c r="D27" s="3">
        <v>110.0</v>
      </c>
      <c r="E27" s="7">
        <f> 10</f>
        <v>10</v>
      </c>
      <c r="F27" s="7">
        <f> 1100</f>
        <v>1100</v>
      </c>
      <c r="G27" s="7">
        <f t="shared" si="8"/>
        <v>1100</v>
      </c>
      <c r="H27" s="5" t="s">
        <v>76</v>
      </c>
    </row>
    <row r="28">
      <c r="A28" s="8" t="s">
        <v>77</v>
      </c>
      <c r="B28" s="8" t="s">
        <v>78</v>
      </c>
      <c r="C28" s="8" t="s">
        <v>79</v>
      </c>
      <c r="D28" s="3">
        <v>110.0</v>
      </c>
      <c r="E28" s="7">
        <f> 3999 / 110</f>
        <v>36.35454545</v>
      </c>
      <c r="F28" s="7">
        <f> 3999</f>
        <v>3999</v>
      </c>
      <c r="G28" s="7">
        <f t="shared" si="8"/>
        <v>3999</v>
      </c>
      <c r="H28" s="5" t="s">
        <v>80</v>
      </c>
      <c r="I28" s="5" t="s">
        <v>81</v>
      </c>
    </row>
    <row r="29">
      <c r="A29" s="3" t="s">
        <v>82</v>
      </c>
      <c r="D29" s="3">
        <v>2.0</v>
      </c>
      <c r="E29" s="4">
        <f>2500</f>
        <v>2500</v>
      </c>
      <c r="F29" s="4">
        <f t="shared" ref="F29:F36" si="9">E29*D29</f>
        <v>5000</v>
      </c>
      <c r="G29" s="4">
        <f t="shared" si="8"/>
        <v>5000</v>
      </c>
      <c r="H29" s="6" t="s">
        <v>83</v>
      </c>
      <c r="I29" s="6" t="s">
        <v>84</v>
      </c>
    </row>
    <row r="30">
      <c r="A30" s="3" t="s">
        <v>85</v>
      </c>
      <c r="B30" s="3" t="s">
        <v>86</v>
      </c>
      <c r="C30" s="3" t="s">
        <v>87</v>
      </c>
      <c r="D30" s="3">
        <v>120.0</v>
      </c>
      <c r="E30" s="4">
        <f>25</f>
        <v>25</v>
      </c>
      <c r="F30" s="4">
        <f t="shared" si="9"/>
        <v>3000</v>
      </c>
      <c r="G30" s="4">
        <f t="shared" si="8"/>
        <v>3000</v>
      </c>
      <c r="H30" s="5" t="s">
        <v>88</v>
      </c>
      <c r="I30" s="5" t="s">
        <v>89</v>
      </c>
    </row>
    <row r="31">
      <c r="A31" s="3" t="s">
        <v>90</v>
      </c>
      <c r="B31" s="3" t="s">
        <v>91</v>
      </c>
      <c r="C31" s="3"/>
      <c r="D31" s="3">
        <v>2.0</v>
      </c>
      <c r="E31" s="4">
        <f>4200/2</f>
        <v>2100</v>
      </c>
      <c r="F31" s="4">
        <f t="shared" si="9"/>
        <v>4200</v>
      </c>
      <c r="G31" s="4">
        <f t="shared" si="8"/>
        <v>4200</v>
      </c>
      <c r="H31" s="5" t="s">
        <v>92</v>
      </c>
      <c r="I31" s="6" t="s">
        <v>93</v>
      </c>
    </row>
    <row r="32">
      <c r="A32" s="3" t="s">
        <v>94</v>
      </c>
      <c r="B32" s="3" t="s">
        <v>95</v>
      </c>
      <c r="D32" s="3">
        <v>4.0</v>
      </c>
      <c r="E32" s="4">
        <f>11.53</f>
        <v>11.53</v>
      </c>
      <c r="F32" s="4">
        <f t="shared" si="9"/>
        <v>46.12</v>
      </c>
      <c r="G32" s="4">
        <f>F32*1.18</f>
        <v>54.4216</v>
      </c>
      <c r="H32" s="6" t="s">
        <v>96</v>
      </c>
    </row>
    <row r="33">
      <c r="A33" s="3" t="s">
        <v>97</v>
      </c>
      <c r="B33" s="3" t="s">
        <v>98</v>
      </c>
      <c r="C33" s="3"/>
      <c r="D33" s="3">
        <v>2.0</v>
      </c>
      <c r="E33" s="4">
        <f>65</f>
        <v>65</v>
      </c>
      <c r="F33" s="4">
        <f t="shared" si="9"/>
        <v>130</v>
      </c>
      <c r="G33" s="4">
        <f t="shared" ref="G33:G36" si="10">F33</f>
        <v>130</v>
      </c>
      <c r="H33" s="6" t="s">
        <v>99</v>
      </c>
    </row>
    <row r="34">
      <c r="A34" s="3" t="s">
        <v>100</v>
      </c>
      <c r="B34" s="3" t="s">
        <v>101</v>
      </c>
      <c r="C34" s="3"/>
      <c r="D34" s="3">
        <v>2.0</v>
      </c>
      <c r="E34" s="4">
        <f>11</f>
        <v>11</v>
      </c>
      <c r="F34" s="4">
        <f t="shared" si="9"/>
        <v>22</v>
      </c>
      <c r="G34" s="4">
        <f t="shared" si="10"/>
        <v>22</v>
      </c>
      <c r="H34" s="6" t="s">
        <v>102</v>
      </c>
    </row>
    <row r="35">
      <c r="A35" s="3" t="s">
        <v>103</v>
      </c>
      <c r="B35" s="3" t="s">
        <v>104</v>
      </c>
      <c r="C35" s="3"/>
      <c r="D35" s="3">
        <v>2.0</v>
      </c>
      <c r="E35" s="4">
        <f>40</f>
        <v>40</v>
      </c>
      <c r="F35" s="4">
        <f t="shared" si="9"/>
        <v>80</v>
      </c>
      <c r="G35" s="4">
        <f t="shared" si="10"/>
        <v>80</v>
      </c>
      <c r="H35" s="6" t="s">
        <v>105</v>
      </c>
    </row>
    <row r="36">
      <c r="A36" s="3" t="s">
        <v>106</v>
      </c>
      <c r="C36" s="3"/>
      <c r="D36" s="3">
        <v>2.0</v>
      </c>
      <c r="E36" s="4">
        <f>438</f>
        <v>438</v>
      </c>
      <c r="F36" s="4">
        <f t="shared" si="9"/>
        <v>876</v>
      </c>
      <c r="G36" s="4">
        <f t="shared" si="10"/>
        <v>876</v>
      </c>
      <c r="H36" s="6" t="s">
        <v>107</v>
      </c>
    </row>
    <row r="37">
      <c r="A37" s="3"/>
      <c r="C37" s="3"/>
      <c r="D37" s="3"/>
      <c r="E37" s="4"/>
      <c r="F37" s="4"/>
      <c r="G37" s="4"/>
    </row>
    <row r="38">
      <c r="A38" s="2" t="s">
        <v>108</v>
      </c>
      <c r="C38" s="3"/>
      <c r="D38" s="3"/>
      <c r="E38" s="4"/>
      <c r="F38" s="4"/>
      <c r="G38" s="4"/>
    </row>
    <row r="39">
      <c r="A39" s="3" t="s">
        <v>109</v>
      </c>
      <c r="B39" s="3" t="s">
        <v>110</v>
      </c>
      <c r="D39" s="3">
        <v>1.0</v>
      </c>
      <c r="E39" s="4">
        <f>696</f>
        <v>696</v>
      </c>
      <c r="F39" s="4">
        <f t="shared" ref="F39:G39" si="11">E39</f>
        <v>696</v>
      </c>
      <c r="G39" s="4">
        <f t="shared" si="11"/>
        <v>696</v>
      </c>
      <c r="H39" s="5" t="s">
        <v>111</v>
      </c>
      <c r="I39" s="6" t="s">
        <v>112</v>
      </c>
    </row>
    <row r="40">
      <c r="A40" s="3" t="s">
        <v>113</v>
      </c>
      <c r="C40" s="3"/>
      <c r="D40" s="3">
        <v>1.0</v>
      </c>
      <c r="E40" s="7">
        <v>32.0</v>
      </c>
      <c r="F40" s="4">
        <f t="shared" ref="F40:G40" si="12">E40</f>
        <v>32</v>
      </c>
      <c r="G40" s="4">
        <f t="shared" si="12"/>
        <v>32</v>
      </c>
      <c r="H40" s="6" t="s">
        <v>114</v>
      </c>
      <c r="I40" s="6" t="s">
        <v>115</v>
      </c>
    </row>
    <row r="41">
      <c r="A41" s="3" t="s">
        <v>116</v>
      </c>
      <c r="B41" s="3" t="s">
        <v>117</v>
      </c>
      <c r="D41" s="3">
        <v>1.0</v>
      </c>
      <c r="E41" s="4">
        <f>38</f>
        <v>38</v>
      </c>
      <c r="F41" s="4">
        <f t="shared" ref="F41:G41" si="13">E41</f>
        <v>38</v>
      </c>
      <c r="G41" s="4">
        <f t="shared" si="13"/>
        <v>38</v>
      </c>
      <c r="H41" s="6" t="s">
        <v>118</v>
      </c>
    </row>
    <row r="42" ht="13.5" customHeight="1">
      <c r="A42" s="3" t="s">
        <v>116</v>
      </c>
      <c r="B42" s="3" t="s">
        <v>119</v>
      </c>
      <c r="D42" s="9">
        <v>1.0</v>
      </c>
      <c r="E42" s="10">
        <f>41</f>
        <v>41</v>
      </c>
      <c r="F42" s="10">
        <f t="shared" ref="F42:G42" si="14">E42</f>
        <v>41</v>
      </c>
      <c r="G42" s="10">
        <f t="shared" si="14"/>
        <v>41</v>
      </c>
      <c r="H42" s="6" t="s">
        <v>120</v>
      </c>
    </row>
    <row r="43" ht="19.5" customHeight="1">
      <c r="A43" s="3"/>
      <c r="E43" s="4"/>
      <c r="F43" s="4"/>
      <c r="G43" s="4"/>
    </row>
    <row r="44" ht="24.0" customHeight="1">
      <c r="A44" s="11" t="s">
        <v>121</v>
      </c>
      <c r="E44" s="12"/>
      <c r="F44" s="12">
        <f t="shared" ref="F44:G44" si="15">SUM(F2:F43)</f>
        <v>24205.54</v>
      </c>
      <c r="G44" s="12">
        <f t="shared" si="15"/>
        <v>24346.3936</v>
      </c>
    </row>
    <row r="45" ht="24.0" customHeight="1">
      <c r="A45" s="13" t="s">
        <v>122</v>
      </c>
      <c r="C45" s="14" t="s">
        <v>123</v>
      </c>
      <c r="E45" s="12"/>
      <c r="F45" s="12">
        <f t="shared" ref="F45:G45" si="16">F44+3000</f>
        <v>27205.54</v>
      </c>
      <c r="G45" s="12">
        <f t="shared" si="16"/>
        <v>27346.3936</v>
      </c>
    </row>
    <row r="46" ht="24.0" customHeight="1">
      <c r="A46" s="13" t="s">
        <v>124</v>
      </c>
      <c r="C46" s="14"/>
      <c r="E46" s="12"/>
      <c r="F46" s="15">
        <f>F45*0.012</f>
        <v>326.46648</v>
      </c>
      <c r="G46" s="15">
        <f>$G45*0.012</f>
        <v>328.1567232</v>
      </c>
    </row>
    <row r="47" ht="20.25" customHeight="1">
      <c r="A47" s="13"/>
      <c r="C47" s="14"/>
      <c r="E47" s="12"/>
      <c r="F47" s="12"/>
      <c r="G47" s="12"/>
    </row>
    <row r="48" ht="30.75" customHeight="1">
      <c r="A48" s="16" t="s">
        <v>125</v>
      </c>
      <c r="E48" s="4"/>
      <c r="F48" s="4"/>
      <c r="G48" s="4"/>
    </row>
    <row r="49" ht="21.0" customHeight="1">
      <c r="A49" s="3" t="s">
        <v>126</v>
      </c>
      <c r="E49" s="4"/>
      <c r="F49" s="4"/>
      <c r="G49" s="4"/>
    </row>
    <row r="50" ht="21.0" customHeight="1">
      <c r="A50" s="3" t="s">
        <v>127</v>
      </c>
      <c r="E50" s="4"/>
      <c r="F50" s="4"/>
      <c r="G50" s="4"/>
    </row>
    <row r="51" ht="21.0" customHeight="1">
      <c r="E51" s="4"/>
      <c r="F51" s="4"/>
      <c r="G51" s="4"/>
    </row>
  </sheetData>
  <conditionalFormatting sqref="A42:H42 A48:H51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I23"/>
    <hyperlink r:id="rId24" ref="H24"/>
    <hyperlink r:id="rId25" ref="I24"/>
    <hyperlink r:id="rId26" ref="H25"/>
    <hyperlink r:id="rId27" ref="I25"/>
    <hyperlink r:id="rId28" ref="H26"/>
    <hyperlink r:id="rId29" ref="H27"/>
    <hyperlink r:id="rId30" ref="H28"/>
    <hyperlink r:id="rId31" ref="I28"/>
    <hyperlink r:id="rId32" ref="H29"/>
    <hyperlink r:id="rId33" ref="I29"/>
    <hyperlink r:id="rId34" ref="H30"/>
    <hyperlink r:id="rId35" ref="I30"/>
    <hyperlink r:id="rId36" ref="H31"/>
    <hyperlink r:id="rId37" ref="I31"/>
    <hyperlink r:id="rId38" ref="H32"/>
    <hyperlink r:id="rId39" ref="H33"/>
    <hyperlink r:id="rId40" ref="H34"/>
    <hyperlink r:id="rId41" ref="H35"/>
    <hyperlink r:id="rId42" ref="H36"/>
    <hyperlink r:id="rId43" ref="H39"/>
    <hyperlink r:id="rId44" ref="I39"/>
    <hyperlink r:id="rId45" ref="H40"/>
    <hyperlink r:id="rId46" ref="I40"/>
    <hyperlink r:id="rId47" ref="H41"/>
    <hyperlink r:id="rId48" ref="H42"/>
  </hyperlinks>
  <drawing r:id="rId49"/>
</worksheet>
</file>